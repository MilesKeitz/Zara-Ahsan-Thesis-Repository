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ntucky" sheetId="1" r:id="rId5"/>
    <sheet state="visible" name="Massachusetts" sheetId="2" r:id="rId6"/>
    <sheet state="visible" name="Maryland" sheetId="3" r:id="rId7"/>
    <sheet state="visible" name="Kansas" sheetId="4" r:id="rId8"/>
    <sheet state="visible" name="Vermont" sheetId="5" r:id="rId9"/>
    <sheet state="visible" name="Results" sheetId="6" r:id="rId10"/>
  </sheets>
  <definedNames/>
  <calcPr/>
</workbook>
</file>

<file path=xl/sharedStrings.xml><?xml version="1.0" encoding="utf-8"?>
<sst xmlns="http://schemas.openxmlformats.org/spreadsheetml/2006/main" count="246" uniqueCount="48">
  <si>
    <t>Candidate</t>
  </si>
  <si>
    <t>Type</t>
  </si>
  <si>
    <t>Partiscan_Cue_Deactivation</t>
  </si>
  <si>
    <t>Leaders_Emoting_as_more_human_as_opposed_to_politician_like</t>
  </si>
  <si>
    <t>State_and_local_level_focus</t>
  </si>
  <si>
    <t>National_pride</t>
  </si>
  <si>
    <t>High_dominance_politics</t>
  </si>
  <si>
    <t>crisis_creibility_managerial competency</t>
  </si>
  <si>
    <t>Word Total</t>
  </si>
  <si>
    <t>Partiscan_Cue_Deactivation_Standardized</t>
  </si>
  <si>
    <t>Leaders_Emoting_as_more_human_as_opposed_to_politician_like_Standardized</t>
  </si>
  <si>
    <t>State_and_local_level_focus_Standardized</t>
  </si>
  <si>
    <t>National_pride_Standardized</t>
  </si>
  <si>
    <t>High_dominance_politics_Standardized</t>
  </si>
  <si>
    <t>crisis_creibility_managerial competency_Standardized</t>
  </si>
  <si>
    <t>Matt Bevin</t>
  </si>
  <si>
    <t>Final Debate</t>
  </si>
  <si>
    <t>Partisan Winning Speech</t>
  </si>
  <si>
    <t>Tweets</t>
  </si>
  <si>
    <t>Fancy Farms</t>
  </si>
  <si>
    <t>Andy Beshear</t>
  </si>
  <si>
    <t>Difference in Mean</t>
  </si>
  <si>
    <t>Charlie Baker</t>
  </si>
  <si>
    <t>MACDC's 2014 Convention</t>
  </si>
  <si>
    <t>Oct 21 Gubernatorial debate</t>
  </si>
  <si>
    <t>Oct 23, 2014 Massachusetts Gubernatorial Debate</t>
  </si>
  <si>
    <t>The Berkshire Eagle</t>
  </si>
  <si>
    <t>Martha Coakley</t>
  </si>
  <si>
    <t>Anthony Brown</t>
  </si>
  <si>
    <t>Fox interview</t>
  </si>
  <si>
    <t>Oct 7 guber debate</t>
  </si>
  <si>
    <t>Larry Hogan</t>
  </si>
  <si>
    <t>Kris Kobach</t>
  </si>
  <si>
    <t>2018 Kansas Governor Debate - September 5, 2018</t>
  </si>
  <si>
    <t>Final Kansas Governor Debate October 30, 2018</t>
  </si>
  <si>
    <t>Laura Kelly</t>
  </si>
  <si>
    <t>Phil Scott</t>
  </si>
  <si>
    <t>Sue Minter</t>
  </si>
  <si>
    <t>crisis_creibility_managerial_competency_Standardized</t>
  </si>
  <si>
    <t>Result</t>
  </si>
  <si>
    <t>State</t>
  </si>
  <si>
    <t>Winner</t>
  </si>
  <si>
    <t>Kentucky</t>
  </si>
  <si>
    <t>Loser</t>
  </si>
  <si>
    <t>Massachusetts</t>
  </si>
  <si>
    <t>Maryland</t>
  </si>
  <si>
    <t>Kansas</t>
  </si>
  <si>
    <t>Vermont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</si>
</sst>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3" t="s">
        <v>16</v>
      </c>
      <c r="C2" s="3">
        <v>5.0</v>
      </c>
      <c r="D2" s="3">
        <v>40.0</v>
      </c>
      <c r="E2" s="3">
        <v>21.0</v>
      </c>
      <c r="F2" s="3">
        <v>14.0</v>
      </c>
      <c r="G2" s="3">
        <v>42.0</v>
      </c>
      <c r="H2" s="3">
        <v>22.0</v>
      </c>
      <c r="I2" s="3">
        <v>4350.0</v>
      </c>
      <c r="J2" s="4">
        <f t="shared" ref="J2:J9" si="1">C2/I2 * 1000</f>
        <v>1.149425287</v>
      </c>
      <c r="K2" s="4">
        <f t="shared" ref="K2:K9" si="2">D2/I2 * 1000</f>
        <v>9.195402299</v>
      </c>
      <c r="L2" s="4">
        <f t="shared" ref="L2:L9" si="3">E2/I2 * 1000</f>
        <v>4.827586207</v>
      </c>
      <c r="M2" s="4">
        <f t="shared" ref="M2:M9" si="4">F2/I2 * 1000</f>
        <v>3.218390805</v>
      </c>
      <c r="N2" s="4">
        <f t="shared" ref="N2:N9" si="5">G2/I2 * 1000</f>
        <v>9.655172414</v>
      </c>
      <c r="O2" s="4">
        <f t="shared" ref="O2:O9" si="6">H2/I2 * 1000</f>
        <v>5.057471264</v>
      </c>
    </row>
    <row r="3">
      <c r="A3" s="3" t="s">
        <v>15</v>
      </c>
      <c r="B3" s="3" t="s">
        <v>17</v>
      </c>
      <c r="C3" s="3">
        <v>3.0</v>
      </c>
      <c r="D3" s="3">
        <v>17.0</v>
      </c>
      <c r="E3" s="3">
        <v>9.0</v>
      </c>
      <c r="F3" s="3">
        <v>6.0</v>
      </c>
      <c r="G3" s="3">
        <v>19.0</v>
      </c>
      <c r="H3" s="3">
        <v>10.0</v>
      </c>
      <c r="I3" s="3">
        <v>1986.0</v>
      </c>
      <c r="J3" s="4">
        <f t="shared" si="1"/>
        <v>1.510574018</v>
      </c>
      <c r="K3" s="4">
        <f t="shared" si="2"/>
        <v>8.559919436</v>
      </c>
      <c r="L3" s="4">
        <f t="shared" si="3"/>
        <v>4.531722054</v>
      </c>
      <c r="M3" s="4">
        <f t="shared" si="4"/>
        <v>3.021148036</v>
      </c>
      <c r="N3" s="4">
        <f t="shared" si="5"/>
        <v>9.566968781</v>
      </c>
      <c r="O3" s="4">
        <f t="shared" si="6"/>
        <v>5.035246727</v>
      </c>
    </row>
    <row r="4">
      <c r="A4" s="3" t="s">
        <v>15</v>
      </c>
      <c r="B4" s="3" t="s">
        <v>18</v>
      </c>
      <c r="C4" s="3">
        <v>20.0</v>
      </c>
      <c r="D4" s="3">
        <v>142.0</v>
      </c>
      <c r="E4" s="3">
        <v>88.0</v>
      </c>
      <c r="F4" s="3">
        <v>53.0</v>
      </c>
      <c r="G4" s="3">
        <v>171.0</v>
      </c>
      <c r="H4" s="3">
        <v>89.0</v>
      </c>
      <c r="I4" s="3">
        <v>11891.0</v>
      </c>
      <c r="J4" s="4">
        <f t="shared" si="1"/>
        <v>1.681944328</v>
      </c>
      <c r="K4" s="4">
        <f t="shared" si="2"/>
        <v>11.94180473</v>
      </c>
      <c r="L4" s="4">
        <f t="shared" si="3"/>
        <v>7.400555042</v>
      </c>
      <c r="M4" s="4">
        <f t="shared" si="4"/>
        <v>4.457152468</v>
      </c>
      <c r="N4" s="4">
        <f t="shared" si="5"/>
        <v>14.380624</v>
      </c>
      <c r="O4" s="4">
        <f t="shared" si="6"/>
        <v>7.484652258</v>
      </c>
    </row>
    <row r="5">
      <c r="A5" s="3" t="s">
        <v>15</v>
      </c>
      <c r="B5" s="3" t="s">
        <v>19</v>
      </c>
      <c r="C5" s="3">
        <v>1.0</v>
      </c>
      <c r="D5" s="3">
        <v>8.0</v>
      </c>
      <c r="E5" s="3">
        <v>4.0</v>
      </c>
      <c r="F5" s="3">
        <v>3.0</v>
      </c>
      <c r="G5" s="3">
        <v>8.0</v>
      </c>
      <c r="H5" s="3">
        <v>4.0</v>
      </c>
      <c r="I5" s="3">
        <v>925.0</v>
      </c>
      <c r="J5" s="4">
        <f t="shared" si="1"/>
        <v>1.081081081</v>
      </c>
      <c r="K5" s="4">
        <f t="shared" si="2"/>
        <v>8.648648649</v>
      </c>
      <c r="L5" s="4">
        <f t="shared" si="3"/>
        <v>4.324324324</v>
      </c>
      <c r="M5" s="4">
        <f t="shared" si="4"/>
        <v>3.243243243</v>
      </c>
      <c r="N5" s="4">
        <f t="shared" si="5"/>
        <v>8.648648649</v>
      </c>
      <c r="O5" s="4">
        <f t="shared" si="6"/>
        <v>4.324324324</v>
      </c>
    </row>
    <row r="6">
      <c r="A6" s="3" t="s">
        <v>20</v>
      </c>
      <c r="B6" s="3" t="s">
        <v>16</v>
      </c>
      <c r="C6" s="3">
        <v>4.0</v>
      </c>
      <c r="D6" s="3">
        <v>32.0</v>
      </c>
      <c r="E6" s="3">
        <v>16.0</v>
      </c>
      <c r="F6" s="3">
        <v>11.0</v>
      </c>
      <c r="G6" s="3">
        <v>34.0</v>
      </c>
      <c r="H6" s="3">
        <v>18.0</v>
      </c>
      <c r="I6" s="3">
        <v>3371.0</v>
      </c>
      <c r="J6" s="4">
        <f t="shared" si="1"/>
        <v>1.186591516</v>
      </c>
      <c r="K6" s="4">
        <f t="shared" si="2"/>
        <v>9.492732127</v>
      </c>
      <c r="L6" s="4">
        <f t="shared" si="3"/>
        <v>4.746366063</v>
      </c>
      <c r="M6" s="4">
        <f t="shared" si="4"/>
        <v>3.263126669</v>
      </c>
      <c r="N6" s="4">
        <f t="shared" si="5"/>
        <v>10.08602788</v>
      </c>
      <c r="O6" s="4">
        <f t="shared" si="6"/>
        <v>5.339661821</v>
      </c>
    </row>
    <row r="7">
      <c r="A7" s="3" t="s">
        <v>20</v>
      </c>
      <c r="B7" s="3" t="s">
        <v>17</v>
      </c>
      <c r="C7" s="3">
        <v>2.0</v>
      </c>
      <c r="D7" s="3">
        <v>17.0</v>
      </c>
      <c r="E7" s="3">
        <v>9.0</v>
      </c>
      <c r="F7" s="3">
        <v>6.0</v>
      </c>
      <c r="G7" s="3">
        <v>18.0</v>
      </c>
      <c r="H7" s="3">
        <v>10.0</v>
      </c>
      <c r="I7" s="3">
        <v>1952.0</v>
      </c>
      <c r="J7" s="4">
        <f t="shared" si="1"/>
        <v>1.024590164</v>
      </c>
      <c r="K7" s="4">
        <f t="shared" si="2"/>
        <v>8.709016393</v>
      </c>
      <c r="L7" s="4">
        <f t="shared" si="3"/>
        <v>4.610655738</v>
      </c>
      <c r="M7" s="4">
        <f t="shared" si="4"/>
        <v>3.073770492</v>
      </c>
      <c r="N7" s="4">
        <f t="shared" si="5"/>
        <v>9.221311475</v>
      </c>
      <c r="O7" s="4">
        <f t="shared" si="6"/>
        <v>5.12295082</v>
      </c>
    </row>
    <row r="8">
      <c r="A8" s="3" t="s">
        <v>20</v>
      </c>
      <c r="B8" s="3" t="s">
        <v>18</v>
      </c>
      <c r="C8" s="3">
        <v>5.0</v>
      </c>
      <c r="D8" s="3">
        <v>36.0</v>
      </c>
      <c r="E8" s="3">
        <v>20.0</v>
      </c>
      <c r="F8" s="3">
        <v>12.0</v>
      </c>
      <c r="G8" s="3">
        <v>42.0</v>
      </c>
      <c r="H8" s="3">
        <v>23.0</v>
      </c>
      <c r="I8" s="3">
        <v>3586.0</v>
      </c>
      <c r="J8" s="4">
        <f t="shared" si="1"/>
        <v>1.39431121</v>
      </c>
      <c r="K8" s="4">
        <f t="shared" si="2"/>
        <v>10.03904071</v>
      </c>
      <c r="L8" s="4">
        <f t="shared" si="3"/>
        <v>5.577244841</v>
      </c>
      <c r="M8" s="4">
        <f t="shared" si="4"/>
        <v>3.346346905</v>
      </c>
      <c r="N8" s="4">
        <f t="shared" si="5"/>
        <v>11.71221417</v>
      </c>
      <c r="O8" s="4">
        <f t="shared" si="6"/>
        <v>6.413831567</v>
      </c>
    </row>
    <row r="9">
      <c r="A9" s="3" t="s">
        <v>20</v>
      </c>
      <c r="B9" s="3" t="s">
        <v>19</v>
      </c>
      <c r="C9" s="3">
        <v>1.0</v>
      </c>
      <c r="D9" s="3">
        <v>10.0</v>
      </c>
      <c r="E9" s="3">
        <v>5.0</v>
      </c>
      <c r="F9" s="3">
        <v>3.0</v>
      </c>
      <c r="G9" s="3">
        <v>10.0</v>
      </c>
      <c r="H9" s="3">
        <v>6.0</v>
      </c>
      <c r="I9" s="3">
        <v>1036.0</v>
      </c>
      <c r="J9" s="4">
        <f t="shared" si="1"/>
        <v>0.9652509653</v>
      </c>
      <c r="K9" s="4">
        <f t="shared" si="2"/>
        <v>9.652509653</v>
      </c>
      <c r="L9" s="4">
        <f t="shared" si="3"/>
        <v>4.826254826</v>
      </c>
      <c r="M9" s="4">
        <f t="shared" si="4"/>
        <v>2.895752896</v>
      </c>
      <c r="N9" s="4">
        <f t="shared" si="5"/>
        <v>9.652509653</v>
      </c>
      <c r="O9" s="4">
        <f t="shared" si="6"/>
        <v>5.791505792</v>
      </c>
    </row>
    <row r="11">
      <c r="A11" s="3" t="s">
        <v>21</v>
      </c>
    </row>
    <row r="12">
      <c r="A12" s="5" t="s">
        <v>2</v>
      </c>
      <c r="B12" s="4">
        <v>-0.21307021472221588</v>
      </c>
      <c r="I12" s="6"/>
    </row>
    <row r="13">
      <c r="A13" s="5" t="s">
        <v>3</v>
      </c>
      <c r="B13" s="4">
        <v>-0.11311905575256098</v>
      </c>
      <c r="I13" s="6"/>
    </row>
    <row r="14">
      <c r="A14" s="5" t="s">
        <v>4</v>
      </c>
      <c r="B14" s="4">
        <v>-0.33091653968468737</v>
      </c>
      <c r="I14" s="6"/>
    </row>
    <row r="15">
      <c r="A15" s="5" t="s">
        <v>5</v>
      </c>
      <c r="B15" s="4">
        <v>-0.34023439787960363</v>
      </c>
      <c r="I15" s="6"/>
    </row>
    <row r="16">
      <c r="A16" s="5" t="s">
        <v>6</v>
      </c>
      <c r="B16" s="4">
        <v>-0.3948376665588995</v>
      </c>
    </row>
    <row r="17">
      <c r="A17" s="5" t="s">
        <v>7</v>
      </c>
      <c r="B17" s="4">
        <v>0.1915638565024178</v>
      </c>
      <c r="I17" s="7"/>
    </row>
    <row r="18">
      <c r="I18" s="7"/>
    </row>
    <row r="19">
      <c r="I19" s="7"/>
    </row>
    <row r="20">
      <c r="I20" s="7"/>
    </row>
    <row r="21">
      <c r="I21" s="7"/>
    </row>
    <row r="22">
      <c r="I2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22</v>
      </c>
      <c r="B2" s="3" t="s">
        <v>23</v>
      </c>
      <c r="C2" s="3">
        <v>2.0</v>
      </c>
      <c r="D2" s="3">
        <v>19.0</v>
      </c>
      <c r="E2" s="3">
        <v>18.0</v>
      </c>
      <c r="F2" s="3">
        <v>5.0</v>
      </c>
      <c r="G2" s="3">
        <v>18.0</v>
      </c>
      <c r="H2" s="3">
        <v>10.0</v>
      </c>
      <c r="I2" s="3">
        <v>2002.0</v>
      </c>
      <c r="J2" s="4">
        <f t="shared" ref="J2:J9" si="1">C2/I2 * 1000</f>
        <v>0.999000999</v>
      </c>
      <c r="K2" s="4">
        <f t="shared" ref="K2:K9" si="2">D2/I2 * 1000</f>
        <v>9.490509491</v>
      </c>
      <c r="L2" s="4">
        <f t="shared" ref="L2:L9" si="3">E2/I2 * 1000</f>
        <v>8.991008991</v>
      </c>
      <c r="M2" s="4">
        <f t="shared" ref="M2:M9" si="4">F2/I2 * 1000</f>
        <v>2.497502498</v>
      </c>
      <c r="N2" s="4">
        <f t="shared" ref="N2:N9" si="5">G2/I2 * 1000</f>
        <v>8.991008991</v>
      </c>
      <c r="O2" s="4">
        <f t="shared" ref="O2:O9" si="6">H2/I2 * 1000</f>
        <v>4.995004995</v>
      </c>
    </row>
    <row r="3">
      <c r="A3" s="3" t="s">
        <v>22</v>
      </c>
      <c r="B3" s="3" t="s">
        <v>24</v>
      </c>
      <c r="C3" s="3">
        <v>5.0</v>
      </c>
      <c r="D3" s="3">
        <v>46.0</v>
      </c>
      <c r="E3" s="3">
        <v>24.0</v>
      </c>
      <c r="F3" s="3">
        <v>14.0</v>
      </c>
      <c r="G3" s="3">
        <v>46.0</v>
      </c>
      <c r="H3" s="3">
        <v>25.0</v>
      </c>
      <c r="I3" s="3">
        <v>4736.0</v>
      </c>
      <c r="J3" s="4">
        <f t="shared" si="1"/>
        <v>1.055743243</v>
      </c>
      <c r="K3" s="4">
        <f t="shared" si="2"/>
        <v>9.712837838</v>
      </c>
      <c r="L3" s="4">
        <f t="shared" si="3"/>
        <v>5.067567568</v>
      </c>
      <c r="M3" s="4">
        <f t="shared" si="4"/>
        <v>2.956081081</v>
      </c>
      <c r="N3" s="4">
        <f t="shared" si="5"/>
        <v>9.712837838</v>
      </c>
      <c r="O3" s="4">
        <f t="shared" si="6"/>
        <v>5.278716216</v>
      </c>
    </row>
    <row r="4">
      <c r="A4" s="3" t="s">
        <v>22</v>
      </c>
      <c r="B4" s="3" t="s">
        <v>25</v>
      </c>
      <c r="C4" s="3">
        <v>6.0</v>
      </c>
      <c r="D4" s="3">
        <v>47.0</v>
      </c>
      <c r="E4" s="3">
        <v>25.0</v>
      </c>
      <c r="F4" s="3">
        <v>15.0</v>
      </c>
      <c r="G4" s="3">
        <v>50.0</v>
      </c>
      <c r="H4" s="3">
        <v>26.0</v>
      </c>
      <c r="I4" s="3">
        <v>5108.0</v>
      </c>
      <c r="J4" s="4">
        <f t="shared" si="1"/>
        <v>1.174628034</v>
      </c>
      <c r="K4" s="4">
        <f t="shared" si="2"/>
        <v>9.201252937</v>
      </c>
      <c r="L4" s="4">
        <f t="shared" si="3"/>
        <v>4.894283477</v>
      </c>
      <c r="M4" s="4">
        <f t="shared" si="4"/>
        <v>2.936570086</v>
      </c>
      <c r="N4" s="4">
        <f t="shared" si="5"/>
        <v>9.788566954</v>
      </c>
      <c r="O4" s="4">
        <f t="shared" si="6"/>
        <v>5.090054816</v>
      </c>
    </row>
    <row r="5">
      <c r="A5" s="3" t="s">
        <v>22</v>
      </c>
      <c r="B5" s="3" t="s">
        <v>26</v>
      </c>
      <c r="C5" s="3">
        <v>8.0</v>
      </c>
      <c r="D5" s="3">
        <v>1.0</v>
      </c>
      <c r="E5" s="3">
        <v>1.0</v>
      </c>
      <c r="F5" s="3">
        <v>0.0</v>
      </c>
      <c r="G5" s="3">
        <v>1.0</v>
      </c>
      <c r="H5" s="3">
        <v>1.0</v>
      </c>
      <c r="I5" s="3">
        <v>112.0</v>
      </c>
      <c r="J5" s="4">
        <f t="shared" si="1"/>
        <v>71.42857143</v>
      </c>
      <c r="K5" s="4">
        <f t="shared" si="2"/>
        <v>8.928571429</v>
      </c>
      <c r="L5" s="4">
        <f t="shared" si="3"/>
        <v>8.928571429</v>
      </c>
      <c r="M5" s="4">
        <f t="shared" si="4"/>
        <v>0</v>
      </c>
      <c r="N5" s="4">
        <f t="shared" si="5"/>
        <v>8.928571429</v>
      </c>
      <c r="O5" s="4">
        <f t="shared" si="6"/>
        <v>8.928571429</v>
      </c>
    </row>
    <row r="6">
      <c r="A6" s="3" t="s">
        <v>27</v>
      </c>
      <c r="B6" s="9" t="s">
        <v>23</v>
      </c>
      <c r="C6" s="3">
        <v>2.0</v>
      </c>
      <c r="D6" s="3">
        <v>14.0</v>
      </c>
      <c r="E6" s="3">
        <v>8.0</v>
      </c>
      <c r="F6" s="3">
        <v>5.0</v>
      </c>
      <c r="G6" s="3">
        <v>14.0</v>
      </c>
      <c r="H6" s="3">
        <v>8.0</v>
      </c>
      <c r="I6" s="3">
        <v>1508.0</v>
      </c>
      <c r="J6" s="4">
        <f t="shared" si="1"/>
        <v>1.326259947</v>
      </c>
      <c r="K6" s="4">
        <f t="shared" si="2"/>
        <v>9.283819629</v>
      </c>
      <c r="L6" s="4">
        <f t="shared" si="3"/>
        <v>5.305039788</v>
      </c>
      <c r="M6" s="4">
        <f t="shared" si="4"/>
        <v>3.315649867</v>
      </c>
      <c r="N6" s="4">
        <f t="shared" si="5"/>
        <v>9.283819629</v>
      </c>
      <c r="O6" s="4">
        <f t="shared" si="6"/>
        <v>5.305039788</v>
      </c>
    </row>
    <row r="7">
      <c r="A7" s="3" t="s">
        <v>27</v>
      </c>
      <c r="B7" s="9" t="s">
        <v>24</v>
      </c>
      <c r="C7" s="3">
        <v>4.0</v>
      </c>
      <c r="D7" s="3">
        <v>36.0</v>
      </c>
      <c r="E7" s="3">
        <v>19.0</v>
      </c>
      <c r="F7" s="3">
        <v>13.0</v>
      </c>
      <c r="G7" s="3">
        <v>38.0</v>
      </c>
      <c r="H7" s="3">
        <v>19.0</v>
      </c>
      <c r="I7" s="3">
        <v>3613.0</v>
      </c>
      <c r="J7" s="4">
        <f t="shared" si="1"/>
        <v>1.107113202</v>
      </c>
      <c r="K7" s="4">
        <f t="shared" si="2"/>
        <v>9.964018821</v>
      </c>
      <c r="L7" s="4">
        <f t="shared" si="3"/>
        <v>5.258787711</v>
      </c>
      <c r="M7" s="4">
        <f t="shared" si="4"/>
        <v>3.598117908</v>
      </c>
      <c r="N7" s="4">
        <f t="shared" si="5"/>
        <v>10.51757542</v>
      </c>
      <c r="O7" s="4">
        <f t="shared" si="6"/>
        <v>5.258787711</v>
      </c>
    </row>
    <row r="8">
      <c r="A8" s="3" t="s">
        <v>27</v>
      </c>
      <c r="B8" s="3" t="s">
        <v>25</v>
      </c>
      <c r="C8" s="3">
        <v>5.0</v>
      </c>
      <c r="D8" s="3">
        <v>39.0</v>
      </c>
      <c r="E8" s="3">
        <v>21.0</v>
      </c>
      <c r="F8" s="3">
        <v>13.0</v>
      </c>
      <c r="G8" s="3">
        <v>41.0</v>
      </c>
      <c r="H8" s="3">
        <v>21.0</v>
      </c>
      <c r="I8" s="3">
        <v>4116.0</v>
      </c>
      <c r="J8" s="4">
        <f t="shared" si="1"/>
        <v>1.214771623</v>
      </c>
      <c r="K8" s="4">
        <f t="shared" si="2"/>
        <v>9.475218659</v>
      </c>
      <c r="L8" s="4">
        <f t="shared" si="3"/>
        <v>5.102040816</v>
      </c>
      <c r="M8" s="4">
        <f t="shared" si="4"/>
        <v>3.15840622</v>
      </c>
      <c r="N8" s="4">
        <f t="shared" si="5"/>
        <v>9.961127308</v>
      </c>
      <c r="O8" s="4">
        <f t="shared" si="6"/>
        <v>5.102040816</v>
      </c>
    </row>
    <row r="9">
      <c r="A9" s="3" t="s">
        <v>27</v>
      </c>
      <c r="B9" s="3" t="s">
        <v>26</v>
      </c>
      <c r="C9" s="3">
        <v>0.0</v>
      </c>
      <c r="D9" s="3">
        <v>1.0</v>
      </c>
      <c r="E9" s="3">
        <v>0.0</v>
      </c>
      <c r="F9" s="3">
        <v>0.0</v>
      </c>
      <c r="G9" s="3">
        <v>1.0</v>
      </c>
      <c r="H9" s="3">
        <v>1.0</v>
      </c>
      <c r="I9" s="3">
        <v>98.0</v>
      </c>
      <c r="J9" s="4">
        <f t="shared" si="1"/>
        <v>0</v>
      </c>
      <c r="K9" s="4">
        <f t="shared" si="2"/>
        <v>10.20408163</v>
      </c>
      <c r="L9" s="4">
        <f t="shared" si="3"/>
        <v>0</v>
      </c>
      <c r="M9" s="4">
        <f t="shared" si="4"/>
        <v>0</v>
      </c>
      <c r="N9" s="4">
        <f t="shared" si="5"/>
        <v>10.20408163</v>
      </c>
      <c r="O9" s="4">
        <f t="shared" si="6"/>
        <v>10.20408163</v>
      </c>
    </row>
    <row r="11">
      <c r="A11" s="3" t="s">
        <v>21</v>
      </c>
    </row>
    <row r="12">
      <c r="A12" s="5" t="s">
        <v>2</v>
      </c>
      <c r="B12" s="4">
        <v>17.7524497332655</v>
      </c>
    </row>
    <row r="13">
      <c r="A13" s="5" t="s">
        <v>3</v>
      </c>
      <c r="B13" s="4">
        <v>-0.39849176190699964</v>
      </c>
    </row>
    <row r="14">
      <c r="A14" s="5" t="s">
        <v>4</v>
      </c>
      <c r="B14" s="4">
        <v>3.0538907872196437</v>
      </c>
    </row>
    <row r="15">
      <c r="A15" s="5" t="s">
        <v>5</v>
      </c>
      <c r="B15" s="4">
        <v>-0.42050508245944895</v>
      </c>
    </row>
    <row r="16">
      <c r="A16" s="5" t="s">
        <v>6</v>
      </c>
      <c r="B16" s="4">
        <v>-0.6364046950592623</v>
      </c>
    </row>
    <row r="17">
      <c r="A17" s="5" t="s">
        <v>7</v>
      </c>
      <c r="B17" s="9">
        <v>-0.39440062301346757</v>
      </c>
      <c r="C17" s="7"/>
      <c r="D17" s="7"/>
      <c r="E17" s="7"/>
      <c r="F17" s="7"/>
      <c r="G17" s="7"/>
      <c r="H17" s="7"/>
    </row>
    <row r="18">
      <c r="B18" s="10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A24" s="7"/>
      <c r="B24" s="9"/>
    </row>
    <row r="25">
      <c r="A25" s="7"/>
      <c r="B25" s="9"/>
    </row>
    <row r="26">
      <c r="A26" s="7"/>
    </row>
    <row r="27">
      <c r="A27" s="7"/>
    </row>
    <row r="28">
      <c r="A28" s="7"/>
    </row>
    <row r="29">
      <c r="A2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28</v>
      </c>
      <c r="B2" s="3" t="s">
        <v>29</v>
      </c>
      <c r="C2" s="3">
        <v>1.0</v>
      </c>
      <c r="D2" s="3">
        <v>9.0</v>
      </c>
      <c r="E2" s="3">
        <v>4.0</v>
      </c>
      <c r="F2" s="3">
        <v>3.0</v>
      </c>
      <c r="G2" s="3">
        <v>9.0</v>
      </c>
      <c r="H2" s="3">
        <v>5.0</v>
      </c>
      <c r="I2" s="3">
        <v>947.0</v>
      </c>
      <c r="J2" s="4">
        <f t="shared" ref="J2:J5" si="1">C2/I2 * 1000</f>
        <v>1.055966209</v>
      </c>
      <c r="K2" s="4">
        <f t="shared" ref="K2:K5" si="2">D2/I2 * 1000</f>
        <v>9.503695882</v>
      </c>
      <c r="L2" s="4">
        <f t="shared" ref="L2:L5" si="3">E2/I2 * 1000</f>
        <v>4.223864836</v>
      </c>
      <c r="M2" s="4">
        <f t="shared" ref="M2:M5" si="4">F2/I2 * 1000</f>
        <v>3.167898627</v>
      </c>
      <c r="N2" s="4">
        <f t="shared" ref="N2:N5" si="5">G2/I2 * 1000</f>
        <v>9.503695882</v>
      </c>
      <c r="O2" s="4">
        <f t="shared" ref="O2:O5" si="6">H2/I2 * 1000</f>
        <v>5.279831045</v>
      </c>
    </row>
    <row r="3">
      <c r="A3" s="3" t="s">
        <v>28</v>
      </c>
      <c r="B3" s="3" t="s">
        <v>30</v>
      </c>
      <c r="C3" s="3">
        <v>7.0</v>
      </c>
      <c r="D3" s="3">
        <v>50.0</v>
      </c>
      <c r="E3" s="3">
        <v>25.0</v>
      </c>
      <c r="F3" s="3">
        <v>16.0</v>
      </c>
      <c r="G3" s="3">
        <v>49.0</v>
      </c>
      <c r="H3" s="3">
        <v>26.0</v>
      </c>
      <c r="I3" s="3">
        <v>4913.0</v>
      </c>
      <c r="J3" s="4">
        <f t="shared" si="1"/>
        <v>1.42479137</v>
      </c>
      <c r="K3" s="4">
        <f t="shared" si="2"/>
        <v>10.17708121</v>
      </c>
      <c r="L3" s="4">
        <f t="shared" si="3"/>
        <v>5.088540607</v>
      </c>
      <c r="M3" s="4">
        <f t="shared" si="4"/>
        <v>3.256665988</v>
      </c>
      <c r="N3" s="4">
        <f t="shared" si="5"/>
        <v>9.973539589</v>
      </c>
      <c r="O3" s="4">
        <f t="shared" si="6"/>
        <v>5.292082231</v>
      </c>
    </row>
    <row r="4">
      <c r="A4" s="3" t="s">
        <v>31</v>
      </c>
      <c r="B4" s="3" t="s">
        <v>29</v>
      </c>
      <c r="C4" s="3">
        <v>1.0</v>
      </c>
      <c r="D4" s="3">
        <v>4.0</v>
      </c>
      <c r="E4" s="3">
        <v>2.0</v>
      </c>
      <c r="F4" s="3">
        <v>1.0</v>
      </c>
      <c r="G4" s="3">
        <v>4.0</v>
      </c>
      <c r="H4" s="3">
        <v>2.0</v>
      </c>
      <c r="I4" s="3">
        <v>412.0</v>
      </c>
      <c r="J4" s="4">
        <f t="shared" si="1"/>
        <v>2.427184466</v>
      </c>
      <c r="K4" s="4">
        <f t="shared" si="2"/>
        <v>9.708737864</v>
      </c>
      <c r="L4" s="4">
        <f t="shared" si="3"/>
        <v>4.854368932</v>
      </c>
      <c r="M4" s="4">
        <f t="shared" si="4"/>
        <v>2.427184466</v>
      </c>
      <c r="N4" s="4">
        <f t="shared" si="5"/>
        <v>9.708737864</v>
      </c>
      <c r="O4" s="4">
        <f t="shared" si="6"/>
        <v>4.854368932</v>
      </c>
    </row>
    <row r="5">
      <c r="A5" s="3" t="s">
        <v>31</v>
      </c>
      <c r="B5" s="3" t="s">
        <v>30</v>
      </c>
      <c r="C5" s="3">
        <v>7.0</v>
      </c>
      <c r="D5" s="3">
        <v>54.0</v>
      </c>
      <c r="E5" s="3">
        <v>26.0</v>
      </c>
      <c r="F5" s="3">
        <v>16.0</v>
      </c>
      <c r="G5" s="3">
        <v>51.0</v>
      </c>
      <c r="H5" s="3">
        <v>27.0</v>
      </c>
      <c r="I5" s="3">
        <v>4965.0</v>
      </c>
      <c r="J5" s="4">
        <f t="shared" si="1"/>
        <v>1.409869084</v>
      </c>
      <c r="K5" s="4">
        <f t="shared" si="2"/>
        <v>10.87613293</v>
      </c>
      <c r="L5" s="4">
        <f t="shared" si="3"/>
        <v>5.236656596</v>
      </c>
      <c r="M5" s="4">
        <f t="shared" si="4"/>
        <v>3.222557905</v>
      </c>
      <c r="N5" s="4">
        <f t="shared" si="5"/>
        <v>10.27190332</v>
      </c>
      <c r="O5" s="4">
        <f t="shared" si="6"/>
        <v>5.438066465</v>
      </c>
    </row>
    <row r="7">
      <c r="A7" s="3" t="s">
        <v>21</v>
      </c>
    </row>
    <row r="8">
      <c r="A8" s="11" t="s">
        <v>2</v>
      </c>
      <c r="B8" s="4">
        <v>0.6781479853440362</v>
      </c>
      <c r="I8" s="6"/>
    </row>
    <row r="9">
      <c r="A9" s="11" t="s">
        <v>3</v>
      </c>
      <c r="B9" s="4">
        <v>0.452046849875698</v>
      </c>
      <c r="I9" s="6"/>
    </row>
    <row r="10">
      <c r="A10" s="11" t="s">
        <v>4</v>
      </c>
      <c r="B10" s="4">
        <v>0.38931004266638425</v>
      </c>
      <c r="I10" s="6"/>
    </row>
    <row r="11">
      <c r="A11" s="11" t="s">
        <v>5</v>
      </c>
      <c r="B11" s="4">
        <v>-0.3874111220408678</v>
      </c>
      <c r="I11" s="6"/>
    </row>
    <row r="12">
      <c r="A12" s="11" t="s">
        <v>6</v>
      </c>
      <c r="B12" s="4">
        <v>0.25170285838140316</v>
      </c>
      <c r="I12" s="7"/>
    </row>
    <row r="13">
      <c r="A13" s="11" t="s">
        <v>7</v>
      </c>
      <c r="B13" s="4">
        <v>-0.13973893946355798</v>
      </c>
      <c r="I13" s="7"/>
    </row>
    <row r="14">
      <c r="I14" s="7"/>
    </row>
    <row r="15">
      <c r="I15" s="7"/>
    </row>
    <row r="16">
      <c r="I16" s="7"/>
    </row>
    <row r="17">
      <c r="I17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32</v>
      </c>
      <c r="B2" s="3" t="s">
        <v>33</v>
      </c>
      <c r="C2" s="3">
        <v>5.0</v>
      </c>
      <c r="D2" s="3">
        <v>38.0</v>
      </c>
      <c r="E2" s="3">
        <v>19.0</v>
      </c>
      <c r="F2" s="3">
        <v>12.0</v>
      </c>
      <c r="G2" s="3">
        <v>37.0</v>
      </c>
      <c r="H2" s="3">
        <v>20.0</v>
      </c>
      <c r="I2" s="3">
        <v>3620.0</v>
      </c>
      <c r="J2" s="4">
        <f t="shared" ref="J2:J5" si="1">C2/I2 * 1000</f>
        <v>1.38121547</v>
      </c>
      <c r="K2" s="4">
        <f t="shared" ref="K2:K5" si="2">D2/I2 * 1000</f>
        <v>10.49723757</v>
      </c>
      <c r="L2" s="4">
        <f t="shared" ref="L2:L5" si="3">E2/I2 * 1000</f>
        <v>5.248618785</v>
      </c>
      <c r="M2" s="4">
        <f t="shared" ref="M2:M5" si="4">F2/I2 * 1000</f>
        <v>3.314917127</v>
      </c>
      <c r="N2" s="4">
        <f t="shared" ref="N2:N5" si="5">G2/I2 * 1000</f>
        <v>10.22099448</v>
      </c>
      <c r="O2" s="4">
        <f t="shared" ref="O2:O5" si="6">H2/I2 * 1000</f>
        <v>5.524861878</v>
      </c>
    </row>
    <row r="3">
      <c r="A3" s="3" t="s">
        <v>32</v>
      </c>
      <c r="B3" s="3" t="s">
        <v>34</v>
      </c>
      <c r="C3" s="3">
        <v>4.0</v>
      </c>
      <c r="D3" s="3">
        <v>32.0</v>
      </c>
      <c r="E3" s="3">
        <v>16.0</v>
      </c>
      <c r="F3" s="3">
        <v>9.0</v>
      </c>
      <c r="G3" s="3">
        <v>32.0</v>
      </c>
      <c r="H3" s="3">
        <v>17.0</v>
      </c>
      <c r="I3" s="3">
        <v>3252.0</v>
      </c>
      <c r="J3" s="4">
        <f t="shared" si="1"/>
        <v>1.2300123</v>
      </c>
      <c r="K3" s="4">
        <f t="shared" si="2"/>
        <v>9.840098401</v>
      </c>
      <c r="L3" s="4">
        <f t="shared" si="3"/>
        <v>4.9200492</v>
      </c>
      <c r="M3" s="4">
        <f t="shared" si="4"/>
        <v>2.767527675</v>
      </c>
      <c r="N3" s="4">
        <f t="shared" si="5"/>
        <v>9.840098401</v>
      </c>
      <c r="O3" s="4">
        <f t="shared" si="6"/>
        <v>5.227552276</v>
      </c>
    </row>
    <row r="4">
      <c r="A4" s="3" t="s">
        <v>35</v>
      </c>
      <c r="B4" s="3" t="s">
        <v>33</v>
      </c>
      <c r="C4" s="3">
        <v>3.0</v>
      </c>
      <c r="D4" s="3">
        <v>24.0</v>
      </c>
      <c r="E4" s="3">
        <v>12.0</v>
      </c>
      <c r="F4" s="3">
        <v>7.0</v>
      </c>
      <c r="G4" s="3">
        <v>23.0</v>
      </c>
      <c r="H4" s="3">
        <v>13.0</v>
      </c>
      <c r="I4" s="3">
        <v>2484.0</v>
      </c>
      <c r="J4" s="4">
        <f t="shared" si="1"/>
        <v>1.207729469</v>
      </c>
      <c r="K4" s="4">
        <f t="shared" si="2"/>
        <v>9.661835749</v>
      </c>
      <c r="L4" s="4">
        <f t="shared" si="3"/>
        <v>4.830917874</v>
      </c>
      <c r="M4" s="4">
        <f t="shared" si="4"/>
        <v>2.818035427</v>
      </c>
      <c r="N4" s="4">
        <f t="shared" si="5"/>
        <v>9.259259259</v>
      </c>
      <c r="O4" s="4">
        <f t="shared" si="6"/>
        <v>5.233494364</v>
      </c>
    </row>
    <row r="5">
      <c r="A5" s="3" t="s">
        <v>35</v>
      </c>
      <c r="B5" s="3" t="s">
        <v>34</v>
      </c>
      <c r="C5" s="3">
        <v>3.0</v>
      </c>
      <c r="D5" s="3">
        <v>20.0</v>
      </c>
      <c r="E5" s="3">
        <v>9.0</v>
      </c>
      <c r="F5" s="3">
        <v>5.0</v>
      </c>
      <c r="G5" s="3">
        <v>19.0</v>
      </c>
      <c r="H5" s="3">
        <v>10.0</v>
      </c>
      <c r="I5" s="3">
        <v>2053.0</v>
      </c>
      <c r="J5" s="4">
        <f t="shared" si="1"/>
        <v>1.461276181</v>
      </c>
      <c r="K5" s="4">
        <f t="shared" si="2"/>
        <v>9.741841208</v>
      </c>
      <c r="L5" s="4">
        <f t="shared" si="3"/>
        <v>4.383828544</v>
      </c>
      <c r="M5" s="4">
        <f t="shared" si="4"/>
        <v>2.435460302</v>
      </c>
      <c r="N5" s="4">
        <f t="shared" si="5"/>
        <v>9.254749148</v>
      </c>
      <c r="O5" s="4">
        <f t="shared" si="6"/>
        <v>4.870920604</v>
      </c>
    </row>
    <row r="8">
      <c r="A8" s="11" t="s">
        <v>2</v>
      </c>
      <c r="B8" s="4">
        <v>0.02888894003050968</v>
      </c>
      <c r="I8" s="6"/>
    </row>
    <row r="9">
      <c r="A9" s="11" t="s">
        <v>3</v>
      </c>
      <c r="B9" s="4">
        <v>-0.4668295066321022</v>
      </c>
      <c r="I9" s="6"/>
    </row>
    <row r="10">
      <c r="A10" s="11" t="s">
        <v>4</v>
      </c>
      <c r="B10" s="4">
        <v>-0.4769607835157581</v>
      </c>
    </row>
    <row r="11">
      <c r="A11" s="11" t="s">
        <v>5</v>
      </c>
      <c r="B11" s="4">
        <v>-0.41447453681020985</v>
      </c>
    </row>
    <row r="12">
      <c r="A12" s="11" t="s">
        <v>6</v>
      </c>
      <c r="B12" s="4">
        <v>-0.773542234636988</v>
      </c>
      <c r="I12" s="7"/>
    </row>
    <row r="13">
      <c r="A13" s="11" t="s">
        <v>7</v>
      </c>
      <c r="B13" s="4">
        <v>-0.32399959302624737</v>
      </c>
      <c r="I13" s="7"/>
    </row>
    <row r="14">
      <c r="I14" s="7"/>
    </row>
    <row r="15">
      <c r="I15" s="7"/>
    </row>
    <row r="16">
      <c r="I16" s="7"/>
    </row>
    <row r="17">
      <c r="I1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36</v>
      </c>
      <c r="B2" s="12">
        <v>46303.0</v>
      </c>
      <c r="C2" s="3">
        <v>4.0</v>
      </c>
      <c r="D2" s="3">
        <v>25.0</v>
      </c>
      <c r="E2" s="3">
        <v>13.0</v>
      </c>
      <c r="F2" s="3">
        <v>8.0</v>
      </c>
      <c r="G2" s="3">
        <v>27.0</v>
      </c>
      <c r="H2" s="3">
        <v>14.0</v>
      </c>
      <c r="I2" s="3">
        <v>2731.0</v>
      </c>
      <c r="J2" s="4">
        <f t="shared" ref="J2:J3" si="1">C2/I2 * 1000</f>
        <v>1.464664958</v>
      </c>
      <c r="K2" s="4">
        <f t="shared" ref="K2:K3" si="2">D2/I2 * 1000</f>
        <v>9.154155987</v>
      </c>
      <c r="L2" s="4">
        <f t="shared" ref="L2:L3" si="3">E2/I2 * 1000</f>
        <v>4.760161113</v>
      </c>
      <c r="M2" s="4">
        <f t="shared" ref="M2:M3" si="4">F2/I2 * 1000</f>
        <v>2.929329916</v>
      </c>
      <c r="N2" s="4">
        <f t="shared" ref="N2:N3" si="5">G2/I2 * 1000</f>
        <v>9.886488466</v>
      </c>
      <c r="O2" s="4">
        <f t="shared" ref="O2:O3" si="6">H2/I2 * 1000</f>
        <v>5.126327353</v>
      </c>
    </row>
    <row r="3">
      <c r="A3" s="3" t="s">
        <v>37</v>
      </c>
      <c r="B3" s="12">
        <v>46303.0</v>
      </c>
      <c r="C3" s="3">
        <v>5.0</v>
      </c>
      <c r="D3" s="3">
        <v>32.0</v>
      </c>
      <c r="E3" s="3">
        <v>16.0</v>
      </c>
      <c r="F3" s="3">
        <v>9.0</v>
      </c>
      <c r="G3" s="3">
        <v>33.0</v>
      </c>
      <c r="H3" s="3">
        <v>18.0</v>
      </c>
      <c r="I3" s="3">
        <v>3644.0</v>
      </c>
      <c r="J3" s="4">
        <f t="shared" si="1"/>
        <v>1.372118551</v>
      </c>
      <c r="K3" s="4">
        <f t="shared" si="2"/>
        <v>8.781558727</v>
      </c>
      <c r="L3" s="4">
        <f t="shared" si="3"/>
        <v>4.390779363</v>
      </c>
      <c r="M3" s="4">
        <f t="shared" si="4"/>
        <v>2.469813392</v>
      </c>
      <c r="N3" s="4">
        <f t="shared" si="5"/>
        <v>9.055982437</v>
      </c>
      <c r="O3" s="4">
        <f t="shared" si="6"/>
        <v>4.939626784</v>
      </c>
    </row>
    <row r="5">
      <c r="A5" s="3" t="s">
        <v>21</v>
      </c>
    </row>
    <row r="6">
      <c r="A6" s="11" t="s">
        <v>2</v>
      </c>
      <c r="B6" s="4">
        <v>0.09254640684807214</v>
      </c>
      <c r="I6" s="13"/>
    </row>
    <row r="7">
      <c r="A7" s="11" t="s">
        <v>3</v>
      </c>
      <c r="B7" s="4">
        <v>0.3725972601440297</v>
      </c>
    </row>
    <row r="8">
      <c r="A8" s="11" t="s">
        <v>4</v>
      </c>
      <c r="B8" s="4">
        <v>0.3693817498083751</v>
      </c>
      <c r="I8" s="7"/>
    </row>
    <row r="9">
      <c r="A9" s="11" t="s">
        <v>5</v>
      </c>
      <c r="B9" s="4">
        <v>0.45951652390470654</v>
      </c>
      <c r="I9" s="7"/>
    </row>
    <row r="10">
      <c r="A10" s="11" t="s">
        <v>6</v>
      </c>
      <c r="B10" s="4">
        <v>0.8305060288809099</v>
      </c>
      <c r="I10" s="7"/>
    </row>
    <row r="11">
      <c r="A11" s="11" t="s">
        <v>7</v>
      </c>
      <c r="B11" s="4">
        <v>0.18670056886397202</v>
      </c>
      <c r="I11" s="7"/>
    </row>
    <row r="12">
      <c r="I12" s="7"/>
    </row>
    <row r="13">
      <c r="I13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38</v>
      </c>
      <c r="G1" s="5" t="s">
        <v>39</v>
      </c>
      <c r="H1" s="5" t="s">
        <v>0</v>
      </c>
      <c r="I1" s="5" t="s">
        <v>40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>
        <v>1.1865915158706617</v>
      </c>
      <c r="B2" s="4">
        <v>9.492732126965294</v>
      </c>
      <c r="C2" s="4">
        <v>4.746366063482647</v>
      </c>
      <c r="D2" s="4">
        <v>3.263126668644319</v>
      </c>
      <c r="E2" s="4">
        <v>10.086027884900622</v>
      </c>
      <c r="F2" s="4">
        <v>5.339661821417977</v>
      </c>
      <c r="G2" s="3" t="s">
        <v>41</v>
      </c>
      <c r="H2" s="3" t="s">
        <v>20</v>
      </c>
      <c r="I2" s="3" t="s">
        <v>42</v>
      </c>
    </row>
    <row r="3">
      <c r="A3" s="4">
        <v>1.0245901639344264</v>
      </c>
      <c r="B3" s="4">
        <v>8.709016393442623</v>
      </c>
      <c r="C3" s="4">
        <v>4.610655737704918</v>
      </c>
      <c r="D3" s="4">
        <v>3.0737704918032787</v>
      </c>
      <c r="E3" s="4">
        <v>9.221311475409836</v>
      </c>
      <c r="F3" s="4">
        <v>5.1229508196721305</v>
      </c>
      <c r="G3" s="3" t="s">
        <v>41</v>
      </c>
      <c r="H3" s="3" t="s">
        <v>20</v>
      </c>
      <c r="I3" s="3" t="s">
        <v>42</v>
      </c>
    </row>
    <row r="4">
      <c r="A4" s="4">
        <v>1.3943112102621305</v>
      </c>
      <c r="B4" s="4">
        <v>10.039040713887339</v>
      </c>
      <c r="C4" s="4">
        <v>5.577244841048522</v>
      </c>
      <c r="D4" s="4">
        <v>3.3463469046291134</v>
      </c>
      <c r="E4" s="4">
        <v>11.712214166201896</v>
      </c>
      <c r="F4" s="4">
        <v>6.413831567205801</v>
      </c>
      <c r="G4" s="3" t="s">
        <v>41</v>
      </c>
      <c r="H4" s="3" t="s">
        <v>20</v>
      </c>
      <c r="I4" s="3" t="s">
        <v>42</v>
      </c>
    </row>
    <row r="5">
      <c r="A5" s="4">
        <v>0.9652509652509653</v>
      </c>
      <c r="B5" s="4">
        <v>9.652509652509652</v>
      </c>
      <c r="C5" s="4">
        <v>4.826254826254826</v>
      </c>
      <c r="D5" s="4">
        <v>2.8957528957528957</v>
      </c>
      <c r="E5" s="4">
        <v>9.652509652509652</v>
      </c>
      <c r="F5" s="4">
        <v>5.7915057915057915</v>
      </c>
      <c r="G5" s="3" t="s">
        <v>41</v>
      </c>
      <c r="H5" s="3" t="s">
        <v>20</v>
      </c>
      <c r="I5" s="3" t="s">
        <v>42</v>
      </c>
    </row>
    <row r="6">
      <c r="A6" s="4">
        <v>1.1494252873563218</v>
      </c>
      <c r="B6" s="4">
        <v>9.195402298850574</v>
      </c>
      <c r="C6" s="4">
        <v>4.827586206896552</v>
      </c>
      <c r="D6" s="4">
        <v>3.218390804597701</v>
      </c>
      <c r="E6" s="4">
        <v>9.655172413793103</v>
      </c>
      <c r="F6" s="4">
        <v>5.057471264367816</v>
      </c>
      <c r="G6" s="3" t="s">
        <v>43</v>
      </c>
      <c r="H6" s="3" t="s">
        <v>15</v>
      </c>
      <c r="I6" s="3" t="s">
        <v>42</v>
      </c>
    </row>
    <row r="7">
      <c r="A7" s="4">
        <v>1.5105740181268883</v>
      </c>
      <c r="B7" s="4">
        <v>8.559919436052366</v>
      </c>
      <c r="C7" s="4">
        <v>4.531722054380665</v>
      </c>
      <c r="D7" s="4">
        <v>3.0211480362537766</v>
      </c>
      <c r="E7" s="4">
        <v>9.566968781470292</v>
      </c>
      <c r="F7" s="4">
        <v>5.0352467270896275</v>
      </c>
      <c r="G7" s="3" t="s">
        <v>43</v>
      </c>
      <c r="H7" s="3" t="s">
        <v>15</v>
      </c>
      <c r="I7" s="3" t="s">
        <v>42</v>
      </c>
    </row>
    <row r="8">
      <c r="A8" s="4">
        <v>1.681944327642755</v>
      </c>
      <c r="B8" s="4">
        <v>11.94180472626356</v>
      </c>
      <c r="C8" s="4">
        <v>7.400555041628122</v>
      </c>
      <c r="D8" s="4">
        <v>4.457152468253301</v>
      </c>
      <c r="E8" s="4">
        <v>14.380624001345556</v>
      </c>
      <c r="F8" s="4">
        <v>7.48465225801026</v>
      </c>
      <c r="G8" s="3" t="s">
        <v>43</v>
      </c>
      <c r="H8" s="3" t="s">
        <v>15</v>
      </c>
      <c r="I8" s="3" t="s">
        <v>42</v>
      </c>
    </row>
    <row r="9">
      <c r="A9" s="4">
        <v>1.0810810810810811</v>
      </c>
      <c r="B9" s="4">
        <v>8.64864864864865</v>
      </c>
      <c r="C9" s="4">
        <v>4.324324324324325</v>
      </c>
      <c r="D9" s="4">
        <v>3.243243243243243</v>
      </c>
      <c r="E9" s="4">
        <v>8.64864864864865</v>
      </c>
      <c r="F9" s="4">
        <v>4.324324324324325</v>
      </c>
      <c r="G9" s="3" t="s">
        <v>43</v>
      </c>
      <c r="H9" s="3" t="s">
        <v>15</v>
      </c>
      <c r="I9" s="3" t="s">
        <v>42</v>
      </c>
    </row>
    <row r="10">
      <c r="A10" s="4">
        <v>0.999000999000999</v>
      </c>
      <c r="B10" s="4">
        <v>9.49050949050949</v>
      </c>
      <c r="C10" s="4">
        <v>8.991008991008991</v>
      </c>
      <c r="D10" s="4">
        <v>2.4975024975024973</v>
      </c>
      <c r="E10" s="4">
        <v>8.991008991008991</v>
      </c>
      <c r="F10" s="4">
        <v>4.995004995004995</v>
      </c>
      <c r="G10" s="3" t="s">
        <v>41</v>
      </c>
      <c r="H10" s="3" t="s">
        <v>22</v>
      </c>
      <c r="I10" s="3" t="s">
        <v>44</v>
      </c>
    </row>
    <row r="11">
      <c r="A11" s="4">
        <v>1.0557432432432432</v>
      </c>
      <c r="B11" s="4">
        <v>9.712837837837837</v>
      </c>
      <c r="C11" s="4">
        <v>5.0675675675675675</v>
      </c>
      <c r="D11" s="4">
        <v>2.956081081081081</v>
      </c>
      <c r="E11" s="4">
        <v>9.712837837837837</v>
      </c>
      <c r="F11" s="4">
        <v>5.278716216216216</v>
      </c>
      <c r="G11" s="3" t="s">
        <v>41</v>
      </c>
      <c r="H11" s="3" t="s">
        <v>22</v>
      </c>
      <c r="I11" s="3" t="s">
        <v>44</v>
      </c>
    </row>
    <row r="12">
      <c r="A12" s="4">
        <v>1.1746280344557558</v>
      </c>
      <c r="B12" s="4">
        <v>9.201252936570086</v>
      </c>
      <c r="C12" s="4">
        <v>4.894283476898982</v>
      </c>
      <c r="D12" s="4">
        <v>2.9365700861393895</v>
      </c>
      <c r="E12" s="4">
        <v>9.788566953797964</v>
      </c>
      <c r="F12" s="4">
        <v>5.090054815974941</v>
      </c>
      <c r="G12" s="3" t="s">
        <v>41</v>
      </c>
      <c r="H12" s="3" t="s">
        <v>22</v>
      </c>
      <c r="I12" s="3" t="s">
        <v>44</v>
      </c>
    </row>
    <row r="13">
      <c r="A13" s="4">
        <v>71.42857142857143</v>
      </c>
      <c r="B13" s="4">
        <v>8.928571428571429</v>
      </c>
      <c r="C13" s="4">
        <v>8.928571428571429</v>
      </c>
      <c r="D13" s="4">
        <v>0.0</v>
      </c>
      <c r="E13" s="4">
        <v>8.928571428571429</v>
      </c>
      <c r="F13" s="4">
        <v>8.928571428571429</v>
      </c>
      <c r="G13" s="3" t="s">
        <v>41</v>
      </c>
      <c r="H13" s="3" t="s">
        <v>22</v>
      </c>
      <c r="I13" s="3" t="s">
        <v>44</v>
      </c>
    </row>
    <row r="14">
      <c r="A14" s="4">
        <v>1.3262599469496021</v>
      </c>
      <c r="B14" s="4">
        <v>9.283819628647215</v>
      </c>
      <c r="C14" s="4">
        <v>5.305039787798409</v>
      </c>
      <c r="D14" s="4">
        <v>3.3156498673740056</v>
      </c>
      <c r="E14" s="4">
        <v>9.283819628647215</v>
      </c>
      <c r="F14" s="4">
        <v>5.305039787798409</v>
      </c>
      <c r="G14" s="3" t="s">
        <v>43</v>
      </c>
      <c r="H14" s="3" t="s">
        <v>27</v>
      </c>
      <c r="I14" s="3" t="s">
        <v>44</v>
      </c>
    </row>
    <row r="15">
      <c r="A15" s="4">
        <v>1.1071132023249377</v>
      </c>
      <c r="B15" s="4">
        <v>9.964018820924439</v>
      </c>
      <c r="C15" s="4">
        <v>5.258787711043454</v>
      </c>
      <c r="D15" s="4">
        <v>3.598117907556048</v>
      </c>
      <c r="E15" s="4">
        <v>10.517575422086908</v>
      </c>
      <c r="F15" s="4">
        <v>5.258787711043454</v>
      </c>
      <c r="G15" s="3" t="s">
        <v>43</v>
      </c>
      <c r="H15" s="3" t="s">
        <v>27</v>
      </c>
      <c r="I15" s="3" t="s">
        <v>44</v>
      </c>
    </row>
    <row r="16">
      <c r="A16" s="4">
        <v>1.2147716229348882</v>
      </c>
      <c r="B16" s="4">
        <v>9.475218658892128</v>
      </c>
      <c r="C16" s="4">
        <v>5.1020408163265305</v>
      </c>
      <c r="D16" s="4">
        <v>3.1584062196307094</v>
      </c>
      <c r="E16" s="4">
        <v>9.961127308066084</v>
      </c>
      <c r="F16" s="4">
        <v>5.1020408163265305</v>
      </c>
      <c r="G16" s="3" t="s">
        <v>43</v>
      </c>
      <c r="H16" s="3" t="s">
        <v>27</v>
      </c>
      <c r="I16" s="3" t="s">
        <v>44</v>
      </c>
    </row>
    <row r="17">
      <c r="A17" s="4">
        <v>0.0</v>
      </c>
      <c r="B17" s="4">
        <v>10.204081632653061</v>
      </c>
      <c r="C17" s="4">
        <v>0.0</v>
      </c>
      <c r="D17" s="4">
        <v>0.0</v>
      </c>
      <c r="E17" s="4">
        <v>10.204081632653061</v>
      </c>
      <c r="F17" s="4">
        <v>10.204081632653061</v>
      </c>
      <c r="G17" s="3" t="s">
        <v>43</v>
      </c>
      <c r="H17" s="3" t="s">
        <v>27</v>
      </c>
      <c r="I17" s="3" t="s">
        <v>44</v>
      </c>
    </row>
    <row r="18">
      <c r="A18" s="4">
        <v>2.4271844660194173</v>
      </c>
      <c r="B18" s="4">
        <v>9.70873786407767</v>
      </c>
      <c r="C18" s="4">
        <v>4.854368932038835</v>
      </c>
      <c r="D18" s="4">
        <v>2.4271844660194173</v>
      </c>
      <c r="E18" s="4">
        <v>9.70873786407767</v>
      </c>
      <c r="F18" s="4">
        <v>4.854368932038835</v>
      </c>
      <c r="G18" s="3" t="s">
        <v>41</v>
      </c>
      <c r="H18" s="3" t="s">
        <v>31</v>
      </c>
      <c r="I18" s="3" t="s">
        <v>45</v>
      </c>
    </row>
    <row r="19">
      <c r="A19" s="4">
        <v>1.4098690835850958</v>
      </c>
      <c r="B19" s="4">
        <v>10.876132930513595</v>
      </c>
      <c r="C19" s="4">
        <v>5.236656596173212</v>
      </c>
      <c r="D19" s="4">
        <v>3.2225579053373616</v>
      </c>
      <c r="E19" s="4">
        <v>10.27190332326284</v>
      </c>
      <c r="F19" s="4">
        <v>5.438066465256798</v>
      </c>
      <c r="G19" s="3" t="s">
        <v>41</v>
      </c>
      <c r="H19" s="3" t="s">
        <v>31</v>
      </c>
      <c r="I19" s="3" t="s">
        <v>45</v>
      </c>
    </row>
    <row r="20">
      <c r="A20" s="4">
        <v>1.0559662090813093</v>
      </c>
      <c r="B20" s="4">
        <v>9.503695881731785</v>
      </c>
      <c r="C20" s="4">
        <v>4.223864836325237</v>
      </c>
      <c r="D20" s="4">
        <v>3.1678986272439285</v>
      </c>
      <c r="E20" s="4">
        <v>9.503695881731785</v>
      </c>
      <c r="F20" s="4">
        <v>5.279831045406547</v>
      </c>
      <c r="G20" s="3" t="s">
        <v>43</v>
      </c>
      <c r="H20" s="3" t="s">
        <v>28</v>
      </c>
      <c r="I20" s="3" t="s">
        <v>45</v>
      </c>
    </row>
    <row r="21">
      <c r="A21" s="4">
        <v>1.4247913698351313</v>
      </c>
      <c r="B21" s="4">
        <v>10.177081213108082</v>
      </c>
      <c r="C21" s="4">
        <v>5.088540606554041</v>
      </c>
      <c r="D21" s="4">
        <v>3.2566659881945856</v>
      </c>
      <c r="E21" s="4">
        <v>9.973539588845918</v>
      </c>
      <c r="F21" s="4">
        <v>5.292082230816202</v>
      </c>
      <c r="G21" s="3" t="s">
        <v>43</v>
      </c>
      <c r="H21" s="3" t="s">
        <v>28</v>
      </c>
      <c r="I21" s="3" t="s">
        <v>45</v>
      </c>
    </row>
    <row r="22">
      <c r="A22" s="4">
        <v>1.2077294685990339</v>
      </c>
      <c r="B22" s="4">
        <v>9.66183574879227</v>
      </c>
      <c r="C22" s="4">
        <v>4.830917874396135</v>
      </c>
      <c r="D22" s="4">
        <v>2.818035426731079</v>
      </c>
      <c r="E22" s="4">
        <v>9.25925925925926</v>
      </c>
      <c r="F22" s="4">
        <v>5.233494363929147</v>
      </c>
      <c r="G22" s="3" t="s">
        <v>41</v>
      </c>
      <c r="H22" s="3" t="s">
        <v>35</v>
      </c>
      <c r="I22" s="3" t="s">
        <v>46</v>
      </c>
    </row>
    <row r="23">
      <c r="A23" s="4">
        <v>1.4612761811982464</v>
      </c>
      <c r="B23" s="4">
        <v>9.74184120798831</v>
      </c>
      <c r="C23" s="4">
        <v>4.38382854359474</v>
      </c>
      <c r="D23" s="4">
        <v>2.4354603019970775</v>
      </c>
      <c r="E23" s="4">
        <v>9.254749147588894</v>
      </c>
      <c r="F23" s="4">
        <v>4.870920603994155</v>
      </c>
      <c r="G23" s="3" t="s">
        <v>41</v>
      </c>
      <c r="H23" s="3" t="s">
        <v>35</v>
      </c>
      <c r="I23" s="3" t="s">
        <v>46</v>
      </c>
    </row>
    <row r="24">
      <c r="A24" s="4">
        <v>1.3812154696132597</v>
      </c>
      <c r="B24" s="4">
        <v>10.497237569060774</v>
      </c>
      <c r="C24" s="4">
        <v>5.248618784530387</v>
      </c>
      <c r="D24" s="4">
        <v>3.314917127071823</v>
      </c>
      <c r="E24" s="4">
        <v>10.220994475138122</v>
      </c>
      <c r="F24" s="4">
        <v>5.524861878453039</v>
      </c>
      <c r="G24" s="3" t="s">
        <v>43</v>
      </c>
      <c r="H24" s="3" t="s">
        <v>32</v>
      </c>
      <c r="I24" s="3" t="s">
        <v>46</v>
      </c>
    </row>
    <row r="25">
      <c r="A25" s="4">
        <v>1.2300123001230012</v>
      </c>
      <c r="B25" s="4">
        <v>9.84009840098401</v>
      </c>
      <c r="C25" s="4">
        <v>4.920049200492005</v>
      </c>
      <c r="D25" s="4">
        <v>2.7675276752767526</v>
      </c>
      <c r="E25" s="4">
        <v>9.84009840098401</v>
      </c>
      <c r="F25" s="4">
        <v>5.227552275522756</v>
      </c>
      <c r="G25" s="3" t="s">
        <v>43</v>
      </c>
      <c r="H25" s="3" t="s">
        <v>32</v>
      </c>
      <c r="I25" s="3" t="s">
        <v>46</v>
      </c>
    </row>
    <row r="26">
      <c r="A26" s="4">
        <v>1.4646649578908824</v>
      </c>
      <c r="B26" s="4">
        <v>9.154155986818015</v>
      </c>
      <c r="C26" s="4">
        <v>4.760161113145368</v>
      </c>
      <c r="D26" s="4">
        <v>2.9293299157817647</v>
      </c>
      <c r="E26" s="4">
        <v>9.886488465763456</v>
      </c>
      <c r="F26" s="4">
        <v>5.126327352618088</v>
      </c>
      <c r="G26" s="3" t="s">
        <v>41</v>
      </c>
      <c r="H26" s="3" t="s">
        <v>36</v>
      </c>
      <c r="I26" s="3" t="s">
        <v>47</v>
      </c>
    </row>
    <row r="27">
      <c r="A27" s="4">
        <v>1.3721185510428102</v>
      </c>
      <c r="B27" s="4">
        <v>8.781558726673985</v>
      </c>
      <c r="C27" s="4">
        <v>4.390779363336993</v>
      </c>
      <c r="D27" s="4">
        <v>2.469813391877058</v>
      </c>
      <c r="E27" s="4">
        <v>9.055982436882546</v>
      </c>
      <c r="F27" s="4">
        <v>4.939626783754116</v>
      </c>
      <c r="G27" s="3" t="s">
        <v>43</v>
      </c>
      <c r="H27" s="3" t="s">
        <v>37</v>
      </c>
      <c r="I27" s="3" t="s">
        <v>47</v>
      </c>
    </row>
  </sheetData>
  <drawing r:id="rId1"/>
</worksheet>
</file>